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bfc79f4f05138/Documents/"/>
    </mc:Choice>
  </mc:AlternateContent>
  <xr:revisionPtr revIDLastSave="11" documentId="8_{D66E1B80-F857-4099-BC2B-FC8908E42C74}" xr6:coauthVersionLast="47" xr6:coauthVersionMax="47" xr10:uidLastSave="{D5DB9FD4-E2EA-45CB-B554-CD1D3E7AB554}"/>
  <bookViews>
    <workbookView xWindow="-108" yWindow="-108" windowWidth="23256" windowHeight="12456" xr2:uid="{800E98B8-57C1-4A88-9E0C-0F75B2DABFBE}"/>
  </bookViews>
  <sheets>
    <sheet name="Hoja2" sheetId="2" r:id="rId1"/>
    <sheet name="Hoja4" sheetId="4" r:id="rId2"/>
  </sheets>
  <definedNames>
    <definedName name="_xlnm._FilterDatabase" localSheetId="0" hidden="1">Hoja2!$A$1:$G$1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7" i="2"/>
  <c r="F12" i="2"/>
  <c r="F14" i="2"/>
  <c r="F25" i="2"/>
  <c r="F4" i="2"/>
  <c r="F11" i="2"/>
  <c r="F8" i="2"/>
  <c r="F21" i="2"/>
  <c r="F22" i="2"/>
  <c r="F9" i="2"/>
  <c r="F18" i="2"/>
  <c r="F10" i="2"/>
  <c r="F5" i="2"/>
  <c r="F17" i="2"/>
  <c r="F2" i="2"/>
  <c r="F23" i="2"/>
  <c r="F19" i="2"/>
  <c r="F20" i="2"/>
  <c r="F6" i="2"/>
  <c r="F15" i="2"/>
  <c r="F16" i="2"/>
  <c r="F3" i="2"/>
  <c r="F26" i="2"/>
  <c r="F13" i="2"/>
</calcChain>
</file>

<file path=xl/sharedStrings.xml><?xml version="1.0" encoding="utf-8"?>
<sst xmlns="http://schemas.openxmlformats.org/spreadsheetml/2006/main" count="96" uniqueCount="93">
  <si>
    <t>Puno</t>
  </si>
  <si>
    <t>Junín</t>
  </si>
  <si>
    <t>Apurímac</t>
  </si>
  <si>
    <t>Huancavelica</t>
  </si>
  <si>
    <t>Ayacucho</t>
  </si>
  <si>
    <t>Cusco</t>
  </si>
  <si>
    <t>Madre de Dios</t>
  </si>
  <si>
    <t>Arequipa</t>
  </si>
  <si>
    <t>Tacna</t>
  </si>
  <si>
    <t>Tumbes</t>
  </si>
  <si>
    <t>San Martín</t>
  </si>
  <si>
    <t>Pasco</t>
  </si>
  <si>
    <t>Piura</t>
  </si>
  <si>
    <t>Lambayeque</t>
  </si>
  <si>
    <t>Loreto</t>
  </si>
  <si>
    <t>Ucayali</t>
  </si>
  <si>
    <t>Ica</t>
  </si>
  <si>
    <t>Áncash</t>
  </si>
  <si>
    <t>La Libertad</t>
  </si>
  <si>
    <t>Huánuco</t>
  </si>
  <si>
    <t>Cajamarca</t>
  </si>
  <si>
    <t>Departamento (Meta)</t>
  </si>
  <si>
    <t>PIA</t>
  </si>
  <si>
    <t>PIM</t>
  </si>
  <si>
    <t>Certificación</t>
  </si>
  <si>
    <t>Compromiso Anual</t>
  </si>
  <si>
    <t>Ejecución </t>
  </si>
  <si>
    <t>Avance % </t>
  </si>
  <si>
    <t>Atención de Compromiso Mensual </t>
  </si>
  <si>
    <t>Devengado </t>
  </si>
  <si>
    <t>Girado </t>
  </si>
  <si>
    <r>
      <t>Buscar Ítem    </t>
    </r>
    <r>
      <rPr>
        <b/>
        <sz val="11"/>
        <color rgb="FF3333CC"/>
        <rFont val="Arial"/>
        <family val="2"/>
      </rPr>
      <t>Por código</t>
    </r>
    <r>
      <rPr>
        <sz val="11"/>
        <color theme="1"/>
        <rFont val="Arial"/>
        <family val="2"/>
      </rPr>
      <t>  |  </t>
    </r>
    <r>
      <rPr>
        <b/>
        <sz val="11"/>
        <color rgb="FF3333CC"/>
        <rFont val="Arial"/>
        <family val="2"/>
      </rPr>
      <t>Por descripción</t>
    </r>
  </si>
  <si>
    <t>¿Cómo buscar?</t>
  </si>
  <si>
    <t>01: AMAZONAS</t>
  </si>
  <si>
    <t>02: ANCASH</t>
  </si>
  <si>
    <t>03: APURIMAC</t>
  </si>
  <si>
    <t>04: AREQUIPA</t>
  </si>
  <si>
    <t>05: AYACUCHO</t>
  </si>
  <si>
    <t>06: CAJAMARCA</t>
  </si>
  <si>
    <t>07: PROVINCIA CONSTITUCIONAL DEL CALLAO</t>
  </si>
  <si>
    <t>08: CUSCO</t>
  </si>
  <si>
    <t>09: HUANCAVELICA</t>
  </si>
  <si>
    <t>10: HUANUCO</t>
  </si>
  <si>
    <t>11: ICA</t>
  </si>
  <si>
    <t>12: JUNIN</t>
  </si>
  <si>
    <t>13: LA LIBERTAD</t>
  </si>
  <si>
    <t>14: LAMBAYEQUE</t>
  </si>
  <si>
    <t>15: LIMA</t>
  </si>
  <si>
    <t>16: LORETO</t>
  </si>
  <si>
    <t>17: MADRE DE DIOS</t>
  </si>
  <si>
    <t>18: MOQUEGUA</t>
  </si>
  <si>
    <t>19: PASCO</t>
  </si>
  <si>
    <t>20: PIURA</t>
  </si>
  <si>
    <t>21: PUNO</t>
  </si>
  <si>
    <t>22: SAN MARTIN</t>
  </si>
  <si>
    <t>23: TACNA</t>
  </si>
  <si>
    <t>24: TUMBES</t>
  </si>
  <si>
    <t>25: UCAYALI</t>
  </si>
  <si>
    <t>Notas</t>
  </si>
  <si>
    <t>Moquegua</t>
  </si>
  <si>
    <t>Callao</t>
  </si>
  <si>
    <t>presupuesto_25</t>
  </si>
  <si>
    <t>tasa_homicidios</t>
  </si>
  <si>
    <t>victimizacion</t>
  </si>
  <si>
    <t>Region Amazonas</t>
  </si>
  <si>
    <t>Lima</t>
  </si>
  <si>
    <t>ejecucion_25</t>
  </si>
  <si>
    <t>  23.4</t>
  </si>
  <si>
    <t>  22.7</t>
  </si>
  <si>
    <t>  22.4</t>
  </si>
  <si>
    <t>  22.8</t>
  </si>
  <si>
    <t>  21.2</t>
  </si>
  <si>
    <t>  23.0</t>
  </si>
  <si>
    <t>  20.7</t>
  </si>
  <si>
    <t>  20.8</t>
  </si>
  <si>
    <t>  22.1</t>
  </si>
  <si>
    <t>  21.1</t>
  </si>
  <si>
    <t>  21.8</t>
  </si>
  <si>
    <t>  19.4</t>
  </si>
  <si>
    <t>  24.2</t>
  </si>
  <si>
    <t>  18.5</t>
  </si>
  <si>
    <t>  23.2</t>
  </si>
  <si>
    <t>  17.9</t>
  </si>
  <si>
    <t>  18.6</t>
  </si>
  <si>
    <t>  20.9</t>
  </si>
  <si>
    <t>  23.3</t>
  </si>
  <si>
    <t>  20.0</t>
  </si>
  <si>
    <t>  22.9</t>
  </si>
  <si>
    <t>  25.9</t>
  </si>
  <si>
    <t>presupuesto_26</t>
  </si>
  <si>
    <t>variacion</t>
  </si>
  <si>
    <t>departamento</t>
  </si>
  <si>
    <t>Fuentes: INEI, MININTER, MEF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</si>
</sst>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rgb="FF3333CC"/>
      <name val="Arial"/>
      <family val="2"/>
    </font>
    <font>
      <u/>
      <sz val="11"/>
      <color theme="10"/>
      <name val="Arial Narrow"/>
      <family val="2"/>
    </font>
    <font>
      <b/>
      <sz val="10"/>
      <color rgb="FFD56633"/>
      <name val="Arial"/>
      <family val="2"/>
    </font>
    <font>
      <b/>
      <sz val="11"/>
      <color rgb="FFFFFFFF"/>
      <name val="Arial"/>
      <family val="2"/>
    </font>
    <font>
      <sz val="11"/>
      <color rgb="FF1F1F1F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3A6EA5"/>
        <bgColor indexed="64"/>
      </patternFill>
    </fill>
    <fill>
      <patternFill patternType="solid">
        <fgColor rgb="FF568AC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/>
    </xf>
    <xf numFmtId="0" fontId="6" fillId="0" borderId="0" xfId="3" applyAlignment="1">
      <alignment horizontal="right" vertical="center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164" fontId="3" fillId="0" borderId="9" xfId="1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9" fontId="2" fillId="0" borderId="1" xfId="2" applyFont="1" applyBorder="1" applyAlignment="1">
      <alignment horizontal="right" vertical="center" wrapText="1" indent="1" readingOrder="1"/>
    </xf>
    <xf numFmtId="165" fontId="2" fillId="0" borderId="1" xfId="2" applyNumberFormat="1" applyFont="1" applyBorder="1" applyAlignment="1">
      <alignment horizontal="right" vertical="center" wrapText="1" indent="1" readingOrder="1"/>
    </xf>
    <xf numFmtId="9" fontId="3" fillId="0" borderId="1" xfId="2" applyFont="1" applyBorder="1" applyAlignment="1">
      <alignment horizontal="right" vertical="center" wrapText="1" indent="1" readingOrder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indent="1" readingOrder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114300</xdr:colOff>
      <xdr:row>0</xdr:row>
      <xdr:rowOff>114300</xdr:rowOff>
    </xdr:to>
    <xdr:pic>
      <xdr:nvPicPr>
        <xdr:cNvPr id="2" name="ctl00_CPH1_Mt0_ImgGlobePIA">
          <a:extLst>
            <a:ext uri="{FF2B5EF4-FFF2-40B4-BE49-F238E27FC236}">
              <a16:creationId xmlns:a16="http://schemas.microsoft.com/office/drawing/2014/main" id="{3CB12377-39E2-F264-FEFE-67FAC9F9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114300</xdr:colOff>
      <xdr:row>0</xdr:row>
      <xdr:rowOff>114300</xdr:rowOff>
    </xdr:to>
    <xdr:pic>
      <xdr:nvPicPr>
        <xdr:cNvPr id="3" name="ctl00_CPH1_Mt0_ImgGlobePIM">
          <a:extLst>
            <a:ext uri="{FF2B5EF4-FFF2-40B4-BE49-F238E27FC236}">
              <a16:creationId xmlns:a16="http://schemas.microsoft.com/office/drawing/2014/main" id="{B1FB61CD-0471-0521-E07D-DBA7C4FFC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4" name="ctl00_CPH1_Mt0_ImgGlobeCertificacion">
          <a:extLst>
            <a:ext uri="{FF2B5EF4-FFF2-40B4-BE49-F238E27FC236}">
              <a16:creationId xmlns:a16="http://schemas.microsoft.com/office/drawing/2014/main" id="{7820A56A-4A96-706F-76E3-6BE3DBF0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0</xdr:row>
      <xdr:rowOff>114300</xdr:rowOff>
    </xdr:to>
    <xdr:pic>
      <xdr:nvPicPr>
        <xdr:cNvPr id="5" name="ctl00_CPH1_Mt0_ImgGlobeCompAnual">
          <a:extLst>
            <a:ext uri="{FF2B5EF4-FFF2-40B4-BE49-F238E27FC236}">
              <a16:creationId xmlns:a16="http://schemas.microsoft.com/office/drawing/2014/main" id="{4574EBBA-DAD8-9607-0ABE-30C052B68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114300</xdr:colOff>
      <xdr:row>0</xdr:row>
      <xdr:rowOff>114300</xdr:rowOff>
    </xdr:to>
    <xdr:pic>
      <xdr:nvPicPr>
        <xdr:cNvPr id="6" name="ctl00_CPH1_Mt0_ImgGlobeEjecucion">
          <a:extLst>
            <a:ext uri="{FF2B5EF4-FFF2-40B4-BE49-F238E27FC236}">
              <a16:creationId xmlns:a16="http://schemas.microsoft.com/office/drawing/2014/main" id="{B4BA985B-AE26-6D96-036C-8D32421A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243840</xdr:colOff>
          <xdr:row>3</xdr:row>
          <xdr:rowOff>45720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236220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5</xdr:row>
          <xdr:rowOff>236220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6</xdr:row>
          <xdr:rowOff>236220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236220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53340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236220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236220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16</xdr:row>
          <xdr:rowOff>236220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53340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236220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19</xdr:row>
          <xdr:rowOff>236220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20</xdr:row>
          <xdr:rowOff>236220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21</xdr:row>
          <xdr:rowOff>236220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22</xdr:row>
          <xdr:rowOff>236220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23</xdr:row>
          <xdr:rowOff>236220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24</xdr:row>
          <xdr:rowOff>236220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25</xdr:row>
          <xdr:rowOff>236220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26</xdr:row>
          <xdr:rowOff>236220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27</xdr:row>
          <xdr:rowOff>236220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8.xml"/><Relationship Id="rId18" Type="http://schemas.openxmlformats.org/officeDocument/2006/relationships/control" Target="../activeX/activeX13.xml"/><Relationship Id="rId26" Type="http://schemas.openxmlformats.org/officeDocument/2006/relationships/control" Target="../activeX/activeX21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2.xml"/><Relationship Id="rId25" Type="http://schemas.openxmlformats.org/officeDocument/2006/relationships/control" Target="../activeX/activeX2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1.xml"/><Relationship Id="rId20" Type="http://schemas.openxmlformats.org/officeDocument/2006/relationships/control" Target="../activeX/activeX15.xml"/><Relationship Id="rId29" Type="http://schemas.openxmlformats.org/officeDocument/2006/relationships/control" Target="../activeX/activeX24.xml"/><Relationship Id="rId1" Type="http://schemas.openxmlformats.org/officeDocument/2006/relationships/hyperlink" Target="javascript:window.open(%22../ComoBuscar.htm%22,%20%22_help%22,%20%22status=no,toolbar=no,menubar=no,width=400,height=350,scrollbars=yes,top=50,left=50%22);%20void%200;" TargetMode="External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9.xml"/><Relationship Id="rId5" Type="http://schemas.openxmlformats.org/officeDocument/2006/relationships/image" Target="../media/image1.emf"/><Relationship Id="rId15" Type="http://schemas.openxmlformats.org/officeDocument/2006/relationships/control" Target="../activeX/activeX10.xml"/><Relationship Id="rId23" Type="http://schemas.openxmlformats.org/officeDocument/2006/relationships/control" Target="../activeX/activeX18.xml"/><Relationship Id="rId28" Type="http://schemas.openxmlformats.org/officeDocument/2006/relationships/control" Target="../activeX/activeX23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4.xml"/><Relationship Id="rId31" Type="http://schemas.openxmlformats.org/officeDocument/2006/relationships/control" Target="../activeX/activeX2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9.xml"/><Relationship Id="rId22" Type="http://schemas.openxmlformats.org/officeDocument/2006/relationships/control" Target="../activeX/activeX17.xml"/><Relationship Id="rId27" Type="http://schemas.openxmlformats.org/officeDocument/2006/relationships/control" Target="../activeX/activeX22.xml"/><Relationship Id="rId30" Type="http://schemas.openxmlformats.org/officeDocument/2006/relationships/control" Target="../activeX/activeX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A912-EF7C-437B-B3D3-71F91FD00A0E}">
  <dimension ref="A1:G28"/>
  <sheetViews>
    <sheetView showGridLines="0" tabSelected="1" topLeftCell="A19" zoomScale="170" workbookViewId="0">
      <selection activeCell="A28" sqref="A28"/>
    </sheetView>
  </sheetViews>
  <sheetFormatPr baseColWidth="10" defaultRowHeight="13.8" x14ac:dyDescent="0.25"/>
  <cols>
    <col min="1" max="1" width="21.375" customWidth="1"/>
    <col min="2" max="2" width="12.875" bestFit="1" customWidth="1"/>
    <col min="3" max="3" width="10.625" bestFit="1" customWidth="1"/>
    <col min="4" max="4" width="22.875" customWidth="1"/>
    <col min="5" max="5" width="22.25" customWidth="1"/>
    <col min="6" max="6" width="13.625" customWidth="1"/>
  </cols>
  <sheetData>
    <row r="1" spans="1:7" ht="42" thickBot="1" x14ac:dyDescent="0.3">
      <c r="A1" s="1" t="s">
        <v>91</v>
      </c>
      <c r="B1" s="1" t="s">
        <v>63</v>
      </c>
      <c r="C1" s="15" t="s">
        <v>62</v>
      </c>
      <c r="D1" s="1" t="s">
        <v>61</v>
      </c>
      <c r="E1" s="1" t="s">
        <v>89</v>
      </c>
      <c r="F1" s="1" t="s">
        <v>90</v>
      </c>
      <c r="G1" s="1" t="s">
        <v>66</v>
      </c>
    </row>
    <row r="2" spans="1:7" ht="14.4" thickBot="1" x14ac:dyDescent="0.3">
      <c r="A2" s="1" t="s">
        <v>6</v>
      </c>
      <c r="B2" s="18">
        <v>0.28499999999999998</v>
      </c>
      <c r="C2" s="17">
        <v>30.5</v>
      </c>
      <c r="D2" s="16">
        <v>37420038</v>
      </c>
      <c r="E2" s="14">
        <v>44110041</v>
      </c>
      <c r="F2" s="20">
        <f t="shared" ref="F2:F26" si="0">E2/D2-1</f>
        <v>0.17878129893935446</v>
      </c>
      <c r="G2" s="19">
        <v>0.94</v>
      </c>
    </row>
    <row r="3" spans="1:7" ht="14.4" thickBot="1" x14ac:dyDescent="0.3">
      <c r="A3" s="1" t="s">
        <v>9</v>
      </c>
      <c r="B3" s="18">
        <v>0.25800000000000001</v>
      </c>
      <c r="C3" s="17">
        <v>27</v>
      </c>
      <c r="D3" s="14">
        <v>80868417</v>
      </c>
      <c r="E3" s="14">
        <v>70275192</v>
      </c>
      <c r="F3" s="20">
        <f t="shared" si="0"/>
        <v>-0.13099335182980021</v>
      </c>
      <c r="G3" s="19">
        <v>0.96299999999999997</v>
      </c>
    </row>
    <row r="4" spans="1:7" ht="14.4" thickBot="1" x14ac:dyDescent="0.3">
      <c r="A4" s="1" t="s">
        <v>60</v>
      </c>
      <c r="B4" s="18">
        <v>0.24600000000000002</v>
      </c>
      <c r="C4" s="17">
        <v>23.6</v>
      </c>
      <c r="D4" s="14">
        <v>266506048</v>
      </c>
      <c r="E4" s="14">
        <v>251361392</v>
      </c>
      <c r="F4" s="20">
        <f t="shared" si="0"/>
        <v>-5.6826687850626167E-2</v>
      </c>
      <c r="G4" s="19">
        <v>0.93</v>
      </c>
    </row>
    <row r="5" spans="1:7" ht="14.4" thickBot="1" x14ac:dyDescent="0.3">
      <c r="A5" s="1" t="s">
        <v>65</v>
      </c>
      <c r="B5" s="18">
        <v>0.23699999999999999</v>
      </c>
      <c r="C5" s="17">
        <v>18.3</v>
      </c>
      <c r="D5" s="14">
        <v>2623397474</v>
      </c>
      <c r="E5" s="14">
        <v>2926523453</v>
      </c>
      <c r="F5" s="20">
        <f t="shared" si="0"/>
        <v>0.11554710332849849</v>
      </c>
      <c r="G5" s="19">
        <v>0.95599999999999996</v>
      </c>
    </row>
    <row r="6" spans="1:7" ht="14.4" thickBot="1" x14ac:dyDescent="0.3">
      <c r="A6" s="1" t="s">
        <v>0</v>
      </c>
      <c r="B6" s="18">
        <v>0.38100000000000001</v>
      </c>
      <c r="C6" s="17">
        <v>14.8</v>
      </c>
      <c r="D6" s="14">
        <v>191025041</v>
      </c>
      <c r="E6" s="14">
        <v>216240404</v>
      </c>
      <c r="F6" s="20">
        <f t="shared" si="0"/>
        <v>0.13200030146832953</v>
      </c>
      <c r="G6" s="19">
        <v>0.97400000000000009</v>
      </c>
    </row>
    <row r="7" spans="1:7" ht="14.4" thickBot="1" x14ac:dyDescent="0.3">
      <c r="A7" s="1" t="s">
        <v>2</v>
      </c>
      <c r="B7" s="18">
        <v>0.32400000000000001</v>
      </c>
      <c r="C7" s="17">
        <v>9.8000000000000007</v>
      </c>
      <c r="D7" s="14">
        <v>83277659</v>
      </c>
      <c r="E7" s="14">
        <v>89970203</v>
      </c>
      <c r="F7" s="20">
        <f t="shared" si="0"/>
        <v>8.0364218691594047E-2</v>
      </c>
      <c r="G7" s="19">
        <v>0.98</v>
      </c>
    </row>
    <row r="8" spans="1:7" ht="14.4" thickBot="1" x14ac:dyDescent="0.3">
      <c r="A8" s="1" t="s">
        <v>3</v>
      </c>
      <c r="B8" s="18">
        <v>0.317</v>
      </c>
      <c r="C8" s="17">
        <v>9.3000000000000007</v>
      </c>
      <c r="D8" s="14">
        <v>57779850</v>
      </c>
      <c r="E8" s="14">
        <v>62354659</v>
      </c>
      <c r="F8" s="20">
        <f t="shared" si="0"/>
        <v>7.9176546841156492E-2</v>
      </c>
      <c r="G8" s="19">
        <v>0.96799999999999997</v>
      </c>
    </row>
    <row r="9" spans="1:7" ht="14.4" thickBot="1" x14ac:dyDescent="0.3">
      <c r="A9" s="1" t="s">
        <v>1</v>
      </c>
      <c r="B9" s="18">
        <v>0.34700000000000003</v>
      </c>
      <c r="C9" s="17">
        <v>8.6</v>
      </c>
      <c r="D9" s="14">
        <v>226941942</v>
      </c>
      <c r="E9" s="14">
        <v>229630189</v>
      </c>
      <c r="F9" s="20">
        <f t="shared" si="0"/>
        <v>1.1845527434501291E-2</v>
      </c>
      <c r="G9" s="19">
        <v>0.97299999999999998</v>
      </c>
    </row>
    <row r="10" spans="1:7" ht="14.4" thickBot="1" x14ac:dyDescent="0.3">
      <c r="A10" s="1" t="s">
        <v>13</v>
      </c>
      <c r="B10" s="18">
        <v>0.23699999999999999</v>
      </c>
      <c r="C10" s="17">
        <v>8.6</v>
      </c>
      <c r="D10" s="14">
        <v>229390645</v>
      </c>
      <c r="E10" s="14">
        <v>227320747</v>
      </c>
      <c r="F10" s="20">
        <f t="shared" si="0"/>
        <v>-9.0234630100106683E-3</v>
      </c>
      <c r="G10" s="19">
        <v>0.97099999999999997</v>
      </c>
    </row>
    <row r="11" spans="1:7" ht="14.4" thickBot="1" x14ac:dyDescent="0.3">
      <c r="A11" s="1" t="s">
        <v>5</v>
      </c>
      <c r="B11" s="18">
        <v>0.30499999999999999</v>
      </c>
      <c r="C11" s="17">
        <v>8.3000000000000007</v>
      </c>
      <c r="D11" s="14">
        <v>351756734</v>
      </c>
      <c r="E11" s="14">
        <v>372758566</v>
      </c>
      <c r="F11" s="20">
        <f t="shared" si="0"/>
        <v>5.9705557761973171E-2</v>
      </c>
      <c r="G11" s="19">
        <v>0.97400000000000009</v>
      </c>
    </row>
    <row r="12" spans="1:7" ht="14.4" thickBot="1" x14ac:dyDescent="0.3">
      <c r="A12" s="1" t="s">
        <v>7</v>
      </c>
      <c r="B12" s="18">
        <v>0.28999999999999998</v>
      </c>
      <c r="C12" s="17">
        <v>8</v>
      </c>
      <c r="D12" s="14">
        <v>355100040</v>
      </c>
      <c r="E12" s="14">
        <v>356153008</v>
      </c>
      <c r="F12" s="20">
        <f t="shared" si="0"/>
        <v>2.9652714204144726E-3</v>
      </c>
      <c r="G12" s="19">
        <v>0.97199999999999998</v>
      </c>
    </row>
    <row r="13" spans="1:7" ht="28.2" thickBot="1" x14ac:dyDescent="0.3">
      <c r="A13" s="1" t="s">
        <v>64</v>
      </c>
      <c r="B13" s="18">
        <v>0.27600000000000002</v>
      </c>
      <c r="C13" s="17">
        <v>7.5</v>
      </c>
      <c r="D13" s="14">
        <v>69238958</v>
      </c>
      <c r="E13" s="14">
        <v>80715229</v>
      </c>
      <c r="F13" s="20">
        <f t="shared" si="0"/>
        <v>0.16574875375796383</v>
      </c>
      <c r="G13" s="19">
        <v>0.97900000000000009</v>
      </c>
    </row>
    <row r="14" spans="1:7" ht="14.4" thickBot="1" x14ac:dyDescent="0.3">
      <c r="A14" s="1" t="s">
        <v>4</v>
      </c>
      <c r="B14" s="18">
        <v>0.313</v>
      </c>
      <c r="C14" s="17">
        <v>6.8</v>
      </c>
      <c r="D14" s="14">
        <v>79711795</v>
      </c>
      <c r="E14" s="14">
        <v>92630450</v>
      </c>
      <c r="F14" s="20">
        <f t="shared" si="0"/>
        <v>0.16206704415576145</v>
      </c>
      <c r="G14" s="19">
        <v>0.97699999999999998</v>
      </c>
    </row>
    <row r="15" spans="1:7" ht="14.4" thickBot="1" x14ac:dyDescent="0.3">
      <c r="A15" s="1" t="s">
        <v>10</v>
      </c>
      <c r="B15" s="18">
        <v>0.28800000000000003</v>
      </c>
      <c r="C15" s="17">
        <v>6.4</v>
      </c>
      <c r="D15" s="14">
        <v>152357781</v>
      </c>
      <c r="E15" s="14">
        <v>173564045</v>
      </c>
      <c r="F15" s="20">
        <f t="shared" si="0"/>
        <v>0.13918727262114694</v>
      </c>
      <c r="G15" s="19">
        <v>0.96400000000000008</v>
      </c>
    </row>
    <row r="16" spans="1:7" ht="31.8" customHeight="1" thickBot="1" x14ac:dyDescent="0.3">
      <c r="A16" s="1" t="s">
        <v>8</v>
      </c>
      <c r="B16" s="18">
        <v>0.26200000000000001</v>
      </c>
      <c r="C16" s="17">
        <v>6.1</v>
      </c>
      <c r="D16" s="14">
        <v>131901695</v>
      </c>
      <c r="E16" s="14">
        <v>113645339</v>
      </c>
      <c r="F16" s="20">
        <f t="shared" si="0"/>
        <v>-0.13840880513324716</v>
      </c>
      <c r="G16" s="19">
        <v>0.98</v>
      </c>
    </row>
    <row r="17" spans="1:7" ht="14.4" thickBot="1" x14ac:dyDescent="0.3">
      <c r="A17" s="1" t="s">
        <v>14</v>
      </c>
      <c r="B17" s="18">
        <v>0.23600000000000002</v>
      </c>
      <c r="C17" s="17">
        <v>5.3</v>
      </c>
      <c r="D17" s="14">
        <v>109889256</v>
      </c>
      <c r="E17" s="14">
        <v>109177424</v>
      </c>
      <c r="F17" s="20">
        <f t="shared" si="0"/>
        <v>-6.4777215344874461E-3</v>
      </c>
      <c r="G17" s="19">
        <v>0.98</v>
      </c>
    </row>
    <row r="18" spans="1:7" ht="14.4" thickBot="1" x14ac:dyDescent="0.3">
      <c r="A18" s="1" t="s">
        <v>18</v>
      </c>
      <c r="B18" s="18">
        <v>0.22600000000000001</v>
      </c>
      <c r="C18" s="17">
        <v>5.3</v>
      </c>
      <c r="D18" s="14">
        <v>265093718</v>
      </c>
      <c r="E18" s="14">
        <v>371140754</v>
      </c>
      <c r="F18" s="20">
        <f t="shared" si="0"/>
        <v>0.40003602046880649</v>
      </c>
      <c r="G18" s="19">
        <v>0.95</v>
      </c>
    </row>
    <row r="19" spans="1:7" ht="14.4" thickBot="1" x14ac:dyDescent="0.3">
      <c r="A19" s="1" t="s">
        <v>11</v>
      </c>
      <c r="B19" s="18">
        <v>0.255</v>
      </c>
      <c r="C19" s="17">
        <v>5.2</v>
      </c>
      <c r="D19" s="14">
        <v>37961708</v>
      </c>
      <c r="E19" s="14">
        <v>40890237</v>
      </c>
      <c r="F19" s="20">
        <f t="shared" si="0"/>
        <v>7.7144289714256242E-2</v>
      </c>
      <c r="G19" s="19">
        <v>0.94</v>
      </c>
    </row>
    <row r="20" spans="1:7" ht="14.4" thickBot="1" x14ac:dyDescent="0.3">
      <c r="A20" s="1" t="s">
        <v>12</v>
      </c>
      <c r="B20" s="18">
        <v>0.24399999999999999</v>
      </c>
      <c r="C20" s="17">
        <v>4.8</v>
      </c>
      <c r="D20" s="14">
        <v>304171504</v>
      </c>
      <c r="E20" s="14">
        <v>314312784</v>
      </c>
      <c r="F20" s="20">
        <f t="shared" si="0"/>
        <v>3.3340664285238297E-2</v>
      </c>
      <c r="G20" s="19">
        <v>0.96499999999999997</v>
      </c>
    </row>
    <row r="21" spans="1:7" ht="14.4" thickBot="1" x14ac:dyDescent="0.3">
      <c r="A21" s="1" t="s">
        <v>19</v>
      </c>
      <c r="B21" s="18">
        <v>0.20600000000000002</v>
      </c>
      <c r="C21" s="17">
        <v>4.8</v>
      </c>
      <c r="D21" s="14">
        <v>116021624</v>
      </c>
      <c r="E21" s="14">
        <v>125664373</v>
      </c>
      <c r="F21" s="20">
        <f t="shared" si="0"/>
        <v>8.3111653393163953E-2</v>
      </c>
      <c r="G21" s="19">
        <v>0.97400000000000009</v>
      </c>
    </row>
    <row r="22" spans="1:7" ht="14.4" thickBot="1" x14ac:dyDescent="0.3">
      <c r="A22" s="1" t="s">
        <v>16</v>
      </c>
      <c r="B22" s="18">
        <v>0.23</v>
      </c>
      <c r="C22" s="17">
        <v>4.3</v>
      </c>
      <c r="D22" s="14">
        <v>166242977</v>
      </c>
      <c r="E22" s="14">
        <v>190335107</v>
      </c>
      <c r="F22" s="20">
        <f t="shared" si="0"/>
        <v>0.14492118966324807</v>
      </c>
      <c r="G22" s="19">
        <v>0.95700000000000007</v>
      </c>
    </row>
    <row r="23" spans="1:7" ht="14.4" thickBot="1" x14ac:dyDescent="0.3">
      <c r="A23" s="1" t="s">
        <v>59</v>
      </c>
      <c r="B23" s="18">
        <v>0.23399999999999999</v>
      </c>
      <c r="C23" s="17">
        <v>4.2</v>
      </c>
      <c r="D23" s="14">
        <v>45746369</v>
      </c>
      <c r="E23" s="14">
        <v>52815844</v>
      </c>
      <c r="F23" s="20">
        <f t="shared" si="0"/>
        <v>0.15453630866309842</v>
      </c>
      <c r="G23" s="19">
        <v>0.94</v>
      </c>
    </row>
    <row r="24" spans="1:7" ht="14.4" thickBot="1" x14ac:dyDescent="0.3">
      <c r="A24" s="1" t="s">
        <v>17</v>
      </c>
      <c r="B24" s="18">
        <v>0.22699999999999998</v>
      </c>
      <c r="C24" s="17">
        <v>3.6</v>
      </c>
      <c r="D24" s="14">
        <v>229539692</v>
      </c>
      <c r="E24" s="14">
        <v>254587260</v>
      </c>
      <c r="F24" s="20">
        <f t="shared" si="0"/>
        <v>0.10912085740709276</v>
      </c>
      <c r="G24" s="19">
        <v>0.95799999999999996</v>
      </c>
    </row>
    <row r="25" spans="1:7" ht="14.4" thickBot="1" x14ac:dyDescent="0.3">
      <c r="A25" s="1" t="s">
        <v>20</v>
      </c>
      <c r="B25" s="18">
        <v>0.20600000000000002</v>
      </c>
      <c r="C25" s="17">
        <v>3.6</v>
      </c>
      <c r="D25" s="14">
        <v>166717607</v>
      </c>
      <c r="E25" s="14">
        <v>184833986</v>
      </c>
      <c r="F25" s="20">
        <f t="shared" si="0"/>
        <v>0.10866506139330556</v>
      </c>
      <c r="G25" s="19">
        <v>0.95299999999999996</v>
      </c>
    </row>
    <row r="26" spans="1:7" ht="14.4" thickBot="1" x14ac:dyDescent="0.3">
      <c r="A26" s="1" t="s">
        <v>15</v>
      </c>
      <c r="B26" s="18">
        <v>0.23300000000000001</v>
      </c>
      <c r="C26" s="17">
        <v>3.3</v>
      </c>
      <c r="D26" s="14">
        <v>90417064</v>
      </c>
      <c r="E26" s="14">
        <v>98340136</v>
      </c>
      <c r="F26" s="20">
        <f t="shared" si="0"/>
        <v>8.7628061004060065E-2</v>
      </c>
      <c r="G26" s="19">
        <v>0.96799999999999997</v>
      </c>
    </row>
    <row r="28" spans="1:7" x14ac:dyDescent="0.25">
      <c r="A28" s="30" t="s">
        <v>92</v>
      </c>
    </row>
  </sheetData>
  <autoFilter ref="A1:G1" xr:uid="{2A87A912-EF7C-437B-B3D3-71F91FD00A0E}">
    <sortState xmlns:xlrd2="http://schemas.microsoft.com/office/spreadsheetml/2017/richdata2" ref="A2:G26">
      <sortCondition descending="1" ref="C1"/>
    </sortState>
  </autoFilter>
  <sortState xmlns:xlrd2="http://schemas.microsoft.com/office/spreadsheetml/2017/richdata2" ref="A2:C26">
    <sortCondition ref="A2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F0B7-EF4B-4108-8B81-C566D2DB8716}">
  <sheetPr codeName="Hoja2"/>
  <dimension ref="A1:J29"/>
  <sheetViews>
    <sheetView showGridLines="0" topLeftCell="A17" workbookViewId="0">
      <selection activeCell="D4" sqref="D4:D28"/>
    </sheetView>
  </sheetViews>
  <sheetFormatPr baseColWidth="10" defaultRowHeight="13.8" x14ac:dyDescent="0.25"/>
  <cols>
    <col min="3" max="3" width="15.5" bestFit="1" customWidth="1"/>
  </cols>
  <sheetData>
    <row r="1" spans="1:10" ht="14.4" thickBot="1" x14ac:dyDescent="0.3">
      <c r="A1" s="23" t="s">
        <v>21</v>
      </c>
      <c r="B1" s="25" t="s">
        <v>22</v>
      </c>
      <c r="C1" s="25" t="s">
        <v>23</v>
      </c>
      <c r="D1" s="21" t="s">
        <v>24</v>
      </c>
      <c r="E1" s="21" t="s">
        <v>25</v>
      </c>
      <c r="F1" s="27" t="s">
        <v>26</v>
      </c>
      <c r="G1" s="28"/>
      <c r="H1" s="29"/>
      <c r="I1" s="21" t="s">
        <v>27</v>
      </c>
    </row>
    <row r="2" spans="1:10" ht="69.599999999999994" thickBot="1" x14ac:dyDescent="0.3">
      <c r="A2" s="24"/>
      <c r="B2" s="26"/>
      <c r="C2" s="26"/>
      <c r="D2" s="22"/>
      <c r="E2" s="22"/>
      <c r="F2" s="12" t="s">
        <v>28</v>
      </c>
      <c r="G2" s="13" t="s">
        <v>29</v>
      </c>
      <c r="H2" s="13" t="s">
        <v>30</v>
      </c>
      <c r="I2" s="22"/>
    </row>
    <row r="3" spans="1:10" ht="14.4" thickBot="1" x14ac:dyDescent="0.3">
      <c r="A3" s="2" t="s">
        <v>31</v>
      </c>
      <c r="B3" s="3" t="s">
        <v>32</v>
      </c>
    </row>
    <row r="4" spans="1:10" ht="42" thickBot="1" x14ac:dyDescent="0.3">
      <c r="A4" s="4"/>
      <c r="B4" s="5" t="s">
        <v>33</v>
      </c>
      <c r="C4" s="6">
        <v>80195788</v>
      </c>
      <c r="D4" s="6">
        <v>80715229</v>
      </c>
      <c r="E4" s="6">
        <v>77112716</v>
      </c>
      <c r="F4" s="6">
        <v>75711510</v>
      </c>
      <c r="G4" s="6">
        <v>20345519</v>
      </c>
      <c r="H4" s="6">
        <v>18897754</v>
      </c>
      <c r="I4" s="6">
        <v>18778505</v>
      </c>
      <c r="J4" s="7" t="s">
        <v>67</v>
      </c>
    </row>
    <row r="5" spans="1:10" ht="28.2" thickBot="1" x14ac:dyDescent="0.3">
      <c r="A5" s="8"/>
      <c r="B5" s="5" t="s">
        <v>34</v>
      </c>
      <c r="C5" s="9">
        <v>261356774</v>
      </c>
      <c r="D5" s="9">
        <v>254587260</v>
      </c>
      <c r="E5" s="9">
        <v>216076999</v>
      </c>
      <c r="F5" s="9">
        <v>207487805</v>
      </c>
      <c r="G5" s="9">
        <v>60980537</v>
      </c>
      <c r="H5" s="9">
        <v>57768375</v>
      </c>
      <c r="I5" s="9">
        <v>56278422</v>
      </c>
      <c r="J5" s="10" t="s">
        <v>68</v>
      </c>
    </row>
    <row r="6" spans="1:10" ht="42" thickBot="1" x14ac:dyDescent="0.3">
      <c r="A6" s="8"/>
      <c r="B6" s="5" t="s">
        <v>35</v>
      </c>
      <c r="C6" s="9">
        <v>90887149</v>
      </c>
      <c r="D6" s="9">
        <v>89970203</v>
      </c>
      <c r="E6" s="9">
        <v>84711385</v>
      </c>
      <c r="F6" s="9">
        <v>80633990</v>
      </c>
      <c r="G6" s="9">
        <v>21162842</v>
      </c>
      <c r="H6" s="9">
        <v>20181973</v>
      </c>
      <c r="I6" s="9">
        <v>19842059</v>
      </c>
      <c r="J6" s="10" t="s">
        <v>69</v>
      </c>
    </row>
    <row r="7" spans="1:10" ht="42" thickBot="1" x14ac:dyDescent="0.3">
      <c r="A7" s="8"/>
      <c r="B7" s="5" t="s">
        <v>36</v>
      </c>
      <c r="C7" s="9">
        <v>329545208</v>
      </c>
      <c r="D7" s="9">
        <v>356153008</v>
      </c>
      <c r="E7" s="9">
        <v>309074306</v>
      </c>
      <c r="F7" s="9">
        <v>294917477</v>
      </c>
      <c r="G7" s="9">
        <v>89900325</v>
      </c>
      <c r="H7" s="9">
        <v>81045967</v>
      </c>
      <c r="I7" s="9">
        <v>77598772</v>
      </c>
      <c r="J7" s="10" t="s">
        <v>70</v>
      </c>
    </row>
    <row r="8" spans="1:10" ht="42" thickBot="1" x14ac:dyDescent="0.3">
      <c r="A8" s="8"/>
      <c r="B8" s="5" t="s">
        <v>37</v>
      </c>
      <c r="C8" s="9">
        <v>90526547</v>
      </c>
      <c r="D8" s="9">
        <v>92630450</v>
      </c>
      <c r="E8" s="9">
        <v>78565404</v>
      </c>
      <c r="F8" s="9">
        <v>75259769</v>
      </c>
      <c r="G8" s="9">
        <v>21125859</v>
      </c>
      <c r="H8" s="9">
        <v>19613820</v>
      </c>
      <c r="I8" s="9">
        <v>19130551</v>
      </c>
      <c r="J8" s="10" t="s">
        <v>71</v>
      </c>
    </row>
    <row r="9" spans="1:10" ht="42" thickBot="1" x14ac:dyDescent="0.3">
      <c r="A9" s="8"/>
      <c r="B9" s="5" t="s">
        <v>38</v>
      </c>
      <c r="C9" s="9">
        <v>180665910</v>
      </c>
      <c r="D9" s="9">
        <v>184833986</v>
      </c>
      <c r="E9" s="9">
        <v>172748362</v>
      </c>
      <c r="F9" s="9">
        <v>167609420</v>
      </c>
      <c r="G9" s="9">
        <v>46077548</v>
      </c>
      <c r="H9" s="9">
        <v>42501548</v>
      </c>
      <c r="I9" s="9">
        <v>40853206</v>
      </c>
      <c r="J9" s="10" t="s">
        <v>72</v>
      </c>
    </row>
    <row r="10" spans="1:10" ht="97.2" thickBot="1" x14ac:dyDescent="0.3">
      <c r="A10" s="8"/>
      <c r="B10" s="5" t="s">
        <v>39</v>
      </c>
      <c r="C10" s="9">
        <v>219224840</v>
      </c>
      <c r="D10" s="9">
        <v>251361392</v>
      </c>
      <c r="E10" s="9">
        <v>183080641</v>
      </c>
      <c r="F10" s="9">
        <v>175402233</v>
      </c>
      <c r="G10" s="9">
        <v>57582654</v>
      </c>
      <c r="H10" s="9">
        <v>52063063</v>
      </c>
      <c r="I10" s="9">
        <v>45509103</v>
      </c>
      <c r="J10" s="10" t="s">
        <v>73</v>
      </c>
    </row>
    <row r="11" spans="1:10" ht="28.2" thickBot="1" x14ac:dyDescent="0.3">
      <c r="A11" s="8"/>
      <c r="B11" s="5" t="s">
        <v>40</v>
      </c>
      <c r="C11" s="9">
        <v>354898735</v>
      </c>
      <c r="D11" s="9">
        <v>372758566</v>
      </c>
      <c r="E11" s="9">
        <v>315839970</v>
      </c>
      <c r="F11" s="9">
        <v>284192799</v>
      </c>
      <c r="G11" s="9">
        <v>80350628</v>
      </c>
      <c r="H11" s="9">
        <v>77654667</v>
      </c>
      <c r="I11" s="9">
        <v>75361857</v>
      </c>
      <c r="J11" s="10" t="s">
        <v>74</v>
      </c>
    </row>
    <row r="12" spans="1:10" ht="42" thickBot="1" x14ac:dyDescent="0.3">
      <c r="A12" s="8"/>
      <c r="B12" s="5" t="s">
        <v>41</v>
      </c>
      <c r="C12" s="9">
        <v>59575773</v>
      </c>
      <c r="D12" s="9">
        <v>62354659</v>
      </c>
      <c r="E12" s="9">
        <v>58753074</v>
      </c>
      <c r="F12" s="9">
        <v>55423042</v>
      </c>
      <c r="G12" s="9">
        <v>14443282</v>
      </c>
      <c r="H12" s="9">
        <v>13768915</v>
      </c>
      <c r="I12" s="9">
        <v>13526173</v>
      </c>
      <c r="J12" s="10" t="s">
        <v>75</v>
      </c>
    </row>
    <row r="13" spans="1:10" ht="42" thickBot="1" x14ac:dyDescent="0.3">
      <c r="A13" s="8"/>
      <c r="B13" s="5" t="s">
        <v>42</v>
      </c>
      <c r="C13" s="9">
        <v>122634774</v>
      </c>
      <c r="D13" s="9">
        <v>125664373</v>
      </c>
      <c r="E13" s="9">
        <v>120335019</v>
      </c>
      <c r="F13" s="9">
        <v>117346607</v>
      </c>
      <c r="G13" s="9">
        <v>31598840</v>
      </c>
      <c r="H13" s="9">
        <v>28675218</v>
      </c>
      <c r="I13" s="9">
        <v>27882653</v>
      </c>
      <c r="J13" s="10" t="s">
        <v>70</v>
      </c>
    </row>
    <row r="14" spans="1:10" ht="14.4" thickBot="1" x14ac:dyDescent="0.3">
      <c r="A14" s="8"/>
      <c r="B14" s="5" t="s">
        <v>43</v>
      </c>
      <c r="C14" s="9">
        <v>185968999</v>
      </c>
      <c r="D14" s="9">
        <v>190335107</v>
      </c>
      <c r="E14" s="9">
        <v>146068689</v>
      </c>
      <c r="F14" s="9">
        <v>139548303</v>
      </c>
      <c r="G14" s="9">
        <v>42275064</v>
      </c>
      <c r="H14" s="9">
        <v>40066376</v>
      </c>
      <c r="I14" s="9">
        <v>38457365</v>
      </c>
      <c r="J14" s="10" t="s">
        <v>76</v>
      </c>
    </row>
    <row r="15" spans="1:10" ht="28.2" thickBot="1" x14ac:dyDescent="0.3">
      <c r="A15" s="8"/>
      <c r="B15" s="5" t="s">
        <v>44</v>
      </c>
      <c r="C15" s="9">
        <v>226124635</v>
      </c>
      <c r="D15" s="9">
        <v>229630189</v>
      </c>
      <c r="E15" s="9">
        <v>209293028</v>
      </c>
      <c r="F15" s="9">
        <v>199729574</v>
      </c>
      <c r="G15" s="9">
        <v>54171085</v>
      </c>
      <c r="H15" s="9">
        <v>50114088</v>
      </c>
      <c r="I15" s="9">
        <v>48019742</v>
      </c>
      <c r="J15" s="10" t="s">
        <v>77</v>
      </c>
    </row>
    <row r="16" spans="1:10" ht="42" thickBot="1" x14ac:dyDescent="0.3">
      <c r="A16" s="8"/>
      <c r="B16" s="5" t="s">
        <v>45</v>
      </c>
      <c r="C16" s="9">
        <v>352411057</v>
      </c>
      <c r="D16" s="9">
        <v>371140754</v>
      </c>
      <c r="E16" s="9">
        <v>301016441</v>
      </c>
      <c r="F16" s="9">
        <v>282690413</v>
      </c>
      <c r="G16" s="9">
        <v>77995781</v>
      </c>
      <c r="H16" s="9">
        <v>71981046</v>
      </c>
      <c r="I16" s="9">
        <v>66296797</v>
      </c>
      <c r="J16" s="10" t="s">
        <v>78</v>
      </c>
    </row>
    <row r="17" spans="1:10" ht="42" thickBot="1" x14ac:dyDescent="0.3">
      <c r="A17" s="8"/>
      <c r="B17" s="5" t="s">
        <v>46</v>
      </c>
      <c r="C17" s="9">
        <v>220818331</v>
      </c>
      <c r="D17" s="9">
        <v>227320747</v>
      </c>
      <c r="E17" s="9">
        <v>218666487</v>
      </c>
      <c r="F17" s="9">
        <v>205481748</v>
      </c>
      <c r="G17" s="9">
        <v>59207038</v>
      </c>
      <c r="H17" s="9">
        <v>54937087</v>
      </c>
      <c r="I17" s="9">
        <v>52902745</v>
      </c>
      <c r="J17" s="10" t="s">
        <v>79</v>
      </c>
    </row>
    <row r="18" spans="1:10" ht="14.4" thickBot="1" x14ac:dyDescent="0.3">
      <c r="A18" s="8"/>
      <c r="B18" s="5" t="s">
        <v>47</v>
      </c>
      <c r="C18" s="9">
        <v>2943379836</v>
      </c>
      <c r="D18" s="9">
        <v>2926523453</v>
      </c>
      <c r="E18" s="9">
        <v>2535436242</v>
      </c>
      <c r="F18" s="9">
        <v>2181857667</v>
      </c>
      <c r="G18" s="9">
        <v>644754309</v>
      </c>
      <c r="H18" s="9">
        <v>540760250</v>
      </c>
      <c r="I18" s="9">
        <v>494808553</v>
      </c>
      <c r="J18" s="10" t="s">
        <v>80</v>
      </c>
    </row>
    <row r="19" spans="1:10" ht="28.2" thickBot="1" x14ac:dyDescent="0.3">
      <c r="A19" s="8"/>
      <c r="B19" s="5" t="s">
        <v>48</v>
      </c>
      <c r="C19" s="9">
        <v>106509644</v>
      </c>
      <c r="D19" s="9">
        <v>109177424</v>
      </c>
      <c r="E19" s="9">
        <v>96815992</v>
      </c>
      <c r="F19" s="9">
        <v>91472916</v>
      </c>
      <c r="G19" s="9">
        <v>27321224</v>
      </c>
      <c r="H19" s="9">
        <v>25379760</v>
      </c>
      <c r="I19" s="9">
        <v>24871590</v>
      </c>
      <c r="J19" s="10" t="s">
        <v>81</v>
      </c>
    </row>
    <row r="20" spans="1:10" ht="42" thickBot="1" x14ac:dyDescent="0.3">
      <c r="A20" s="8"/>
      <c r="B20" s="5" t="s">
        <v>49</v>
      </c>
      <c r="C20" s="9">
        <v>42251965</v>
      </c>
      <c r="D20" s="9">
        <v>44110041</v>
      </c>
      <c r="E20" s="9">
        <v>32159220</v>
      </c>
      <c r="F20" s="9">
        <v>28329063</v>
      </c>
      <c r="G20" s="9">
        <v>8083479</v>
      </c>
      <c r="H20" s="9">
        <v>7876906</v>
      </c>
      <c r="I20" s="9">
        <v>7844326</v>
      </c>
      <c r="J20" s="10" t="s">
        <v>82</v>
      </c>
    </row>
    <row r="21" spans="1:10" ht="42" thickBot="1" x14ac:dyDescent="0.3">
      <c r="A21" s="8"/>
      <c r="B21" s="5" t="s">
        <v>50</v>
      </c>
      <c r="C21" s="9">
        <v>45171862</v>
      </c>
      <c r="D21" s="9">
        <v>52815844</v>
      </c>
      <c r="E21" s="9">
        <v>38815620</v>
      </c>
      <c r="F21" s="9">
        <v>36721875</v>
      </c>
      <c r="G21" s="9">
        <v>11200326</v>
      </c>
      <c r="H21" s="9">
        <v>9823668</v>
      </c>
      <c r="I21" s="9">
        <v>9714912</v>
      </c>
      <c r="J21" s="10" t="s">
        <v>83</v>
      </c>
    </row>
    <row r="22" spans="1:10" ht="28.2" thickBot="1" x14ac:dyDescent="0.3">
      <c r="A22" s="8"/>
      <c r="B22" s="5" t="s">
        <v>51</v>
      </c>
      <c r="C22" s="9">
        <v>39548027</v>
      </c>
      <c r="D22" s="9">
        <v>40890237</v>
      </c>
      <c r="E22" s="9">
        <v>35508916</v>
      </c>
      <c r="F22" s="9">
        <v>32979176</v>
      </c>
      <c r="G22" s="9">
        <v>8977642</v>
      </c>
      <c r="H22" s="9">
        <v>8541749</v>
      </c>
      <c r="I22" s="9">
        <v>8426347</v>
      </c>
      <c r="J22" s="10" t="s">
        <v>84</v>
      </c>
    </row>
    <row r="23" spans="1:10" ht="28.2" thickBot="1" x14ac:dyDescent="0.3">
      <c r="A23" s="8"/>
      <c r="B23" s="5" t="s">
        <v>52</v>
      </c>
      <c r="C23" s="9">
        <v>302620989</v>
      </c>
      <c r="D23" s="9">
        <v>314312784</v>
      </c>
      <c r="E23" s="9">
        <v>290799337</v>
      </c>
      <c r="F23" s="9">
        <v>265656510</v>
      </c>
      <c r="G23" s="9">
        <v>77061412</v>
      </c>
      <c r="H23" s="9">
        <v>73208658</v>
      </c>
      <c r="I23" s="9">
        <v>71252294</v>
      </c>
      <c r="J23" s="10" t="s">
        <v>85</v>
      </c>
    </row>
    <row r="24" spans="1:10" ht="28.2" thickBot="1" x14ac:dyDescent="0.3">
      <c r="A24" s="8"/>
      <c r="B24" s="5" t="s">
        <v>53</v>
      </c>
      <c r="C24" s="9">
        <v>200493726</v>
      </c>
      <c r="D24" s="9">
        <v>216240404</v>
      </c>
      <c r="E24" s="9">
        <v>197911475</v>
      </c>
      <c r="F24" s="9">
        <v>167438320</v>
      </c>
      <c r="G24" s="9">
        <v>45128224</v>
      </c>
      <c r="H24" s="9">
        <v>43224996</v>
      </c>
      <c r="I24" s="9">
        <v>42797082</v>
      </c>
      <c r="J24" s="10" t="s">
        <v>86</v>
      </c>
    </row>
    <row r="25" spans="1:10" ht="28.2" thickBot="1" x14ac:dyDescent="0.3">
      <c r="A25" s="8"/>
      <c r="B25" s="5" t="s">
        <v>54</v>
      </c>
      <c r="C25" s="9">
        <v>169760722</v>
      </c>
      <c r="D25" s="9">
        <v>173564045</v>
      </c>
      <c r="E25" s="9">
        <v>163474240</v>
      </c>
      <c r="F25" s="9">
        <v>159850952</v>
      </c>
      <c r="G25" s="9">
        <v>43648831</v>
      </c>
      <c r="H25" s="9">
        <v>39718584</v>
      </c>
      <c r="I25" s="9">
        <v>39357183</v>
      </c>
      <c r="J25" s="10" t="s">
        <v>87</v>
      </c>
    </row>
    <row r="26" spans="1:10" ht="28.2" thickBot="1" x14ac:dyDescent="0.3">
      <c r="A26" s="8"/>
      <c r="B26" s="5" t="s">
        <v>55</v>
      </c>
      <c r="C26" s="9">
        <v>106485776</v>
      </c>
      <c r="D26" s="9">
        <v>113645339</v>
      </c>
      <c r="E26" s="9">
        <v>92048320</v>
      </c>
      <c r="F26" s="9">
        <v>89394898</v>
      </c>
      <c r="G26" s="9">
        <v>31694289</v>
      </c>
      <c r="H26" s="9">
        <v>25914239</v>
      </c>
      <c r="I26" s="9">
        <v>25420156</v>
      </c>
      <c r="J26" s="10" t="s">
        <v>70</v>
      </c>
    </row>
    <row r="27" spans="1:10" ht="28.2" thickBot="1" x14ac:dyDescent="0.3">
      <c r="A27" s="8"/>
      <c r="B27" s="5" t="s">
        <v>56</v>
      </c>
      <c r="C27" s="9">
        <v>68807142</v>
      </c>
      <c r="D27" s="9">
        <v>70275192</v>
      </c>
      <c r="E27" s="9">
        <v>65383969</v>
      </c>
      <c r="F27" s="9">
        <v>60733948</v>
      </c>
      <c r="G27" s="9">
        <v>16247966</v>
      </c>
      <c r="H27" s="9">
        <v>15917303</v>
      </c>
      <c r="I27" s="9">
        <v>15247195</v>
      </c>
      <c r="J27" s="10" t="s">
        <v>68</v>
      </c>
    </row>
    <row r="28" spans="1:10" ht="28.2" thickBot="1" x14ac:dyDescent="0.3">
      <c r="A28" s="8"/>
      <c r="B28" s="5" t="s">
        <v>57</v>
      </c>
      <c r="C28" s="9">
        <v>77799956</v>
      </c>
      <c r="D28" s="9">
        <v>98340136</v>
      </c>
      <c r="E28" s="9">
        <v>86628598</v>
      </c>
      <c r="F28" s="9">
        <v>77168087</v>
      </c>
      <c r="G28" s="9">
        <v>30082363</v>
      </c>
      <c r="H28" s="9">
        <v>25439178</v>
      </c>
      <c r="I28" s="9">
        <v>15498629</v>
      </c>
      <c r="J28" s="10" t="s">
        <v>88</v>
      </c>
    </row>
    <row r="29" spans="1:10" x14ac:dyDescent="0.25">
      <c r="A29" s="11" t="s">
        <v>58</v>
      </c>
    </row>
  </sheetData>
  <mergeCells count="7">
    <mergeCell ref="I1:I2"/>
    <mergeCell ref="A1:A2"/>
    <mergeCell ref="B1:B2"/>
    <mergeCell ref="C1:C2"/>
    <mergeCell ref="D1:D2"/>
    <mergeCell ref="E1:E2"/>
    <mergeCell ref="F1:H1"/>
  </mergeCells>
  <hyperlinks>
    <hyperlink ref="B3" r:id="rId1" display="javascript:window.open(%22../ComoBuscar.htm%22, %22_help%22, %22status=no,toolbar=no,menubar=no,width=400,height=350,scrollbars=yes,top=50,left=50%22); void 0;" xr:uid="{A3F75994-81B6-4C64-8CF2-BADCC69F8D3D}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3078" r:id="rId4" name="Control 6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</xdr:col>
                <xdr:colOff>243840</xdr:colOff>
                <xdr:row>3</xdr:row>
                <xdr:rowOff>45720</xdr:rowOff>
              </to>
            </anchor>
          </controlPr>
        </control>
      </mc:Choice>
      <mc:Fallback>
        <control shapeId="3078" r:id="rId4" name="Control 6"/>
      </mc:Fallback>
    </mc:AlternateContent>
    <mc:AlternateContent xmlns:mc="http://schemas.openxmlformats.org/markup-compatibility/2006">
      <mc:Choice Requires="x14">
        <control shapeId="3079" r:id="rId6" name="Control 7">
          <controlPr defaultSize="0" r:id="rId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236220</xdr:rowOff>
              </to>
            </anchor>
          </controlPr>
        </control>
      </mc:Choice>
      <mc:Fallback>
        <control shapeId="3079" r:id="rId6" name="Control 7"/>
      </mc:Fallback>
    </mc:AlternateContent>
    <mc:AlternateContent xmlns:mc="http://schemas.openxmlformats.org/markup-compatibility/2006">
      <mc:Choice Requires="x14">
        <control shapeId="3080" r:id="rId8" name="Control 8">
          <controlPr defaultSize="0" r:id="rId7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3080" r:id="rId8" name="Control 8"/>
      </mc:Fallback>
    </mc:AlternateContent>
    <mc:AlternateContent xmlns:mc="http://schemas.openxmlformats.org/markup-compatibility/2006">
      <mc:Choice Requires="x14">
        <control shapeId="3081" r:id="rId9" name="Control 9">
          <controlPr defaultSize="0" r:id="rId7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5</xdr:row>
                <xdr:rowOff>236220</xdr:rowOff>
              </to>
            </anchor>
          </controlPr>
        </control>
      </mc:Choice>
      <mc:Fallback>
        <control shapeId="3081" r:id="rId9" name="Control 9"/>
      </mc:Fallback>
    </mc:AlternateContent>
    <mc:AlternateContent xmlns:mc="http://schemas.openxmlformats.org/markup-compatibility/2006">
      <mc:Choice Requires="x14">
        <control shapeId="3082" r:id="rId10" name="Control 10">
          <controlPr defaultSize="0" r:id="rId7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6</xdr:row>
                <xdr:rowOff>236220</xdr:rowOff>
              </to>
            </anchor>
          </controlPr>
        </control>
      </mc:Choice>
      <mc:Fallback>
        <control shapeId="3082" r:id="rId10" name="Control 10"/>
      </mc:Fallback>
    </mc:AlternateContent>
    <mc:AlternateContent xmlns:mc="http://schemas.openxmlformats.org/markup-compatibility/2006">
      <mc:Choice Requires="x14">
        <control shapeId="3083" r:id="rId11" name="Control 11">
          <controlPr defaultSize="0" r:id="rId7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236220</xdr:rowOff>
              </to>
            </anchor>
          </controlPr>
        </control>
      </mc:Choice>
      <mc:Fallback>
        <control shapeId="3083" r:id="rId11" name="Control 11"/>
      </mc:Fallback>
    </mc:AlternateContent>
    <mc:AlternateContent xmlns:mc="http://schemas.openxmlformats.org/markup-compatibility/2006">
      <mc:Choice Requires="x14">
        <control shapeId="3084" r:id="rId12" name="Control 12">
          <controlPr defaultSize="0" r:id="rId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3084" r:id="rId12" name="Control 12"/>
      </mc:Fallback>
    </mc:AlternateContent>
    <mc:AlternateContent xmlns:mc="http://schemas.openxmlformats.org/markup-compatibility/2006">
      <mc:Choice Requires="x14">
        <control shapeId="3085" r:id="rId13" name="Control 13">
          <controlPr defaultSize="0" r:id="rId7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3085" r:id="rId13" name="Control 13"/>
      </mc:Fallback>
    </mc:AlternateContent>
    <mc:AlternateContent xmlns:mc="http://schemas.openxmlformats.org/markup-compatibility/2006">
      <mc:Choice Requires="x14">
        <control shapeId="3086" r:id="rId14" name="Control 14">
          <controlPr defaultSize="0" r:id="rId7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3086" r:id="rId14" name="Control 14"/>
      </mc:Fallback>
    </mc:AlternateContent>
    <mc:AlternateContent xmlns:mc="http://schemas.openxmlformats.org/markup-compatibility/2006">
      <mc:Choice Requires="x14">
        <control shapeId="3087" r:id="rId15" name="Control 15">
          <controlPr defaultSize="0" r:id="rId7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3087" r:id="rId15" name="Control 15"/>
      </mc:Fallback>
    </mc:AlternateContent>
    <mc:AlternateContent xmlns:mc="http://schemas.openxmlformats.org/markup-compatibility/2006">
      <mc:Choice Requires="x14">
        <control shapeId="3088" r:id="rId16" name="Control 16">
          <controlPr defaultSize="0" r:id="rId7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3088" r:id="rId16" name="Control 16"/>
      </mc:Fallback>
    </mc:AlternateContent>
    <mc:AlternateContent xmlns:mc="http://schemas.openxmlformats.org/markup-compatibility/2006">
      <mc:Choice Requires="x14">
        <control shapeId="3089" r:id="rId17" name="Control 17">
          <controlPr defaultSize="0" r:id="rId7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53340</xdr:rowOff>
              </to>
            </anchor>
          </controlPr>
        </control>
      </mc:Choice>
      <mc:Fallback>
        <control shapeId="3089" r:id="rId17" name="Control 17"/>
      </mc:Fallback>
    </mc:AlternateContent>
    <mc:AlternateContent xmlns:mc="http://schemas.openxmlformats.org/markup-compatibility/2006">
      <mc:Choice Requires="x14">
        <control shapeId="3090" r:id="rId18" name="Control 18">
          <controlPr defaultSize="0" r:id="rId7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236220</xdr:rowOff>
              </to>
            </anchor>
          </controlPr>
        </control>
      </mc:Choice>
      <mc:Fallback>
        <control shapeId="3090" r:id="rId18" name="Control 18"/>
      </mc:Fallback>
    </mc:AlternateContent>
    <mc:AlternateContent xmlns:mc="http://schemas.openxmlformats.org/markup-compatibility/2006">
      <mc:Choice Requires="x14">
        <control shapeId="3091" r:id="rId19" name="Control 19">
          <controlPr defaultSize="0" r:id="rId7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236220</xdr:rowOff>
              </to>
            </anchor>
          </controlPr>
        </control>
      </mc:Choice>
      <mc:Fallback>
        <control shapeId="3091" r:id="rId19" name="Control 19"/>
      </mc:Fallback>
    </mc:AlternateContent>
    <mc:AlternateContent xmlns:mc="http://schemas.openxmlformats.org/markup-compatibility/2006">
      <mc:Choice Requires="x14">
        <control shapeId="3092" r:id="rId20" name="Control 20">
          <controlPr defaultSize="0" r:id="rId7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16</xdr:row>
                <xdr:rowOff>236220</xdr:rowOff>
              </to>
            </anchor>
          </controlPr>
        </control>
      </mc:Choice>
      <mc:Fallback>
        <control shapeId="3092" r:id="rId20" name="Control 20"/>
      </mc:Fallback>
    </mc:AlternateContent>
    <mc:AlternateContent xmlns:mc="http://schemas.openxmlformats.org/markup-compatibility/2006">
      <mc:Choice Requires="x14">
        <control shapeId="3093" r:id="rId21" name="Control 21">
          <controlPr defaultSize="0" r:id="rId7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53340</xdr:rowOff>
              </to>
            </anchor>
          </controlPr>
        </control>
      </mc:Choice>
      <mc:Fallback>
        <control shapeId="3093" r:id="rId21" name="Control 21"/>
      </mc:Fallback>
    </mc:AlternateContent>
    <mc:AlternateContent xmlns:mc="http://schemas.openxmlformats.org/markup-compatibility/2006">
      <mc:Choice Requires="x14">
        <control shapeId="3094" r:id="rId22" name="Control 22">
          <controlPr defaultSize="0" r:id="rId7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236220</xdr:rowOff>
              </to>
            </anchor>
          </controlPr>
        </control>
      </mc:Choice>
      <mc:Fallback>
        <control shapeId="3094" r:id="rId22" name="Control 22"/>
      </mc:Fallback>
    </mc:AlternateContent>
    <mc:AlternateContent xmlns:mc="http://schemas.openxmlformats.org/markup-compatibility/2006">
      <mc:Choice Requires="x14">
        <control shapeId="3095" r:id="rId23" name="Control 23">
          <controlPr defaultSize="0" r:id="rId7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19</xdr:row>
                <xdr:rowOff>236220</xdr:rowOff>
              </to>
            </anchor>
          </controlPr>
        </control>
      </mc:Choice>
      <mc:Fallback>
        <control shapeId="3095" r:id="rId23" name="Control 23"/>
      </mc:Fallback>
    </mc:AlternateContent>
    <mc:AlternateContent xmlns:mc="http://schemas.openxmlformats.org/markup-compatibility/2006">
      <mc:Choice Requires="x14">
        <control shapeId="3096" r:id="rId24" name="Control 24">
          <controlPr defaultSize="0" r:id="rId7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20</xdr:row>
                <xdr:rowOff>236220</xdr:rowOff>
              </to>
            </anchor>
          </controlPr>
        </control>
      </mc:Choice>
      <mc:Fallback>
        <control shapeId="3096" r:id="rId24" name="Control 24"/>
      </mc:Fallback>
    </mc:AlternateContent>
    <mc:AlternateContent xmlns:mc="http://schemas.openxmlformats.org/markup-compatibility/2006">
      <mc:Choice Requires="x14">
        <control shapeId="3097" r:id="rId25" name="Control 25">
          <controlPr defaultSize="0" r:id="rId7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21</xdr:row>
                <xdr:rowOff>236220</xdr:rowOff>
              </to>
            </anchor>
          </controlPr>
        </control>
      </mc:Choice>
      <mc:Fallback>
        <control shapeId="3097" r:id="rId25" name="Control 25"/>
      </mc:Fallback>
    </mc:AlternateContent>
    <mc:AlternateContent xmlns:mc="http://schemas.openxmlformats.org/markup-compatibility/2006">
      <mc:Choice Requires="x14">
        <control shapeId="3098" r:id="rId26" name="Control 26">
          <controlPr defaultSize="0" r:id="rId7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22</xdr:row>
                <xdr:rowOff>236220</xdr:rowOff>
              </to>
            </anchor>
          </controlPr>
        </control>
      </mc:Choice>
      <mc:Fallback>
        <control shapeId="3098" r:id="rId26" name="Control 26"/>
      </mc:Fallback>
    </mc:AlternateContent>
    <mc:AlternateContent xmlns:mc="http://schemas.openxmlformats.org/markup-compatibility/2006">
      <mc:Choice Requires="x14">
        <control shapeId="3099" r:id="rId27" name="Control 27">
          <controlPr defaultSize="0" r:id="rId7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23</xdr:row>
                <xdr:rowOff>236220</xdr:rowOff>
              </to>
            </anchor>
          </controlPr>
        </control>
      </mc:Choice>
      <mc:Fallback>
        <control shapeId="3099" r:id="rId27" name="Control 27"/>
      </mc:Fallback>
    </mc:AlternateContent>
    <mc:AlternateContent xmlns:mc="http://schemas.openxmlformats.org/markup-compatibility/2006">
      <mc:Choice Requires="x14">
        <control shapeId="3100" r:id="rId28" name="Control 28">
          <controlPr defaultSize="0" r:id="rId7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24</xdr:row>
                <xdr:rowOff>236220</xdr:rowOff>
              </to>
            </anchor>
          </controlPr>
        </control>
      </mc:Choice>
      <mc:Fallback>
        <control shapeId="3100" r:id="rId28" name="Control 28"/>
      </mc:Fallback>
    </mc:AlternateContent>
    <mc:AlternateContent xmlns:mc="http://schemas.openxmlformats.org/markup-compatibility/2006">
      <mc:Choice Requires="x14">
        <control shapeId="3101" r:id="rId29" name="Control 29">
          <controlPr defaultSize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25</xdr:row>
                <xdr:rowOff>236220</xdr:rowOff>
              </to>
            </anchor>
          </controlPr>
        </control>
      </mc:Choice>
      <mc:Fallback>
        <control shapeId="3101" r:id="rId29" name="Control 29"/>
      </mc:Fallback>
    </mc:AlternateContent>
    <mc:AlternateContent xmlns:mc="http://schemas.openxmlformats.org/markup-compatibility/2006">
      <mc:Choice Requires="x14">
        <control shapeId="3102" r:id="rId30" name="Control 30">
          <controlPr defaultSize="0" r:id="rId7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26</xdr:row>
                <xdr:rowOff>236220</xdr:rowOff>
              </to>
            </anchor>
          </controlPr>
        </control>
      </mc:Choice>
      <mc:Fallback>
        <control shapeId="3102" r:id="rId30" name="Control 30"/>
      </mc:Fallback>
    </mc:AlternateContent>
    <mc:AlternateContent xmlns:mc="http://schemas.openxmlformats.org/markup-compatibility/2006">
      <mc:Choice Requires="x14">
        <control shapeId="3103" r:id="rId31" name="Control 31">
          <controlPr defaultSize="0" r:id="rId7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27</xdr:row>
                <xdr:rowOff>236220</xdr:rowOff>
              </to>
            </anchor>
          </controlPr>
        </control>
      </mc:Choice>
      <mc:Fallback>
        <control shapeId="3103" r:id="rId31" name="Control 3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Zambrano Martinez</dc:creator>
  <cp:lastModifiedBy>Edward Zambrano Martinez</cp:lastModifiedBy>
  <dcterms:created xsi:type="dcterms:W3CDTF">2026-03-24T16:09:24Z</dcterms:created>
  <dcterms:modified xsi:type="dcterms:W3CDTF">2026-03-24T21:15:31Z</dcterms:modified>
</cp:coreProperties>
</file>